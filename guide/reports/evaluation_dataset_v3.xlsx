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215" activeTab="2"/>
  </bookViews>
  <sheets>
    <sheet name="Evaluation" sheetId="1" r:id="rId1"/>
    <sheet name="Summary" sheetId="2" r:id="rId2"/>
    <sheet name="Instructions" sheetId="3" r:id="rId3"/>
  </sheets>
  <calcPr calcId="144525"/>
</workbook>
</file>

<file path=xl/sharedStrings.xml><?xml version="1.0" encoding="utf-8"?>
<sst xmlns="http://schemas.openxmlformats.org/spreadsheetml/2006/main" count="486" uniqueCount="180">
  <si>
    <t>🏷️ HUMAN: Test Dataset</t>
  </si>
  <si>
    <t>🤖 CODE: Pipeline Output</t>
  </si>
  <si>
    <t>🤖 CODE: Auto Metrics</t>
  </si>
  <si>
    <t>👤 HUMAN: Review</t>
  </si>
  <si>
    <t>🤖 LLM Judge: RAGAS</t>
  </si>
  <si>
    <t>id</t>
  </si>
  <si>
    <t>section_name</t>
  </si>
  <si>
    <t>question</t>
  </si>
  <si>
    <t>expected_answer</t>
  </si>
  <si>
    <t>ground_truth_chunk_ids</t>
  </si>
  <si>
    <t>ground_truth_doc</t>
  </si>
  <si>
    <t>ground_truth_page</t>
  </si>
  <si>
    <t>is_out_of_scope</t>
  </si>
  <si>
    <t>custom_preconds</t>
  </si>
  <si>
    <t>rag_input</t>
  </si>
  <si>
    <t>rag_context</t>
  </si>
  <si>
    <t>bot_response</t>
  </si>
  <si>
    <t>bot_citations</t>
  </si>
  <si>
    <t>trace_url</t>
  </si>
  <si>
    <t>retrieved_top5_ids</t>
  </si>
  <si>
    <t>ground_truth_rank</t>
  </si>
  <si>
    <t>recall_at_5</t>
  </si>
  <si>
    <t>mrr_at_5</t>
  </si>
  <si>
    <t>citation_chunk_match</t>
  </si>
  <si>
    <t>guardrail_pass</t>
  </si>
  <si>
    <t>check_answer_correct</t>
  </si>
  <si>
    <t>check_answer_reason</t>
  </si>
  <si>
    <t>check_kb_used</t>
  </si>
  <si>
    <t>check_kb_reason</t>
  </si>
  <si>
    <t>check_citation_correct</t>
  </si>
  <si>
    <t>check_citation_reason</t>
  </si>
  <si>
    <t>error_type</t>
  </si>
  <si>
    <t>overall_verdict</t>
  </si>
  <si>
    <t>ragas_faithfulness</t>
  </si>
  <si>
    <t>ragas_answer_relevancy</t>
  </si>
  <si>
    <t>ragas_context_precision</t>
  </si>
  <si>
    <t>ragas_context_recall</t>
  </si>
  <si>
    <t>Q01</t>
  </si>
  <si>
    <t>Bảo hành pin</t>
  </si>
  <si>
    <t>Pin xe VF8 được bảo hành bao lâu?</t>
  </si>
  <si>
    <t>Pin cao áp được bảo hành 8 năm hoặc 160.000 km</t>
  </si>
  <si>
    <t>pdf_001_p12_c01</t>
  </si>
  <si>
    <t>vinfast_warranty.pdf</t>
  </si>
  <si>
    <t>$RESET</t>
  </si>
  <si>
    <t>Pin xe VF8 bảo hành bao lâu?</t>
  </si>
  <si>
    <t>[{"id":"pdf_001_p12_c01","text":"Pin cao áp được bảo hành 8 năm hoặc 160.000 km.","score":0.92},{"id":"url_001_c03","text":"Chính sách bảo hành VinFast...","score":0.78}]</t>
  </si>
  <si>
    <t>Pin VF8 được bảo hành 8 năm hoặc 160.000 km. [1]</t>
  </si>
  <si>
    <t>[{"source":"vinfast_warranty.pdf","chunk_id":"pdf_001_p12_c01","page":12}]</t>
  </si>
  <si>
    <t>https://langfuse.example.com/trace/abc123</t>
  </si>
  <si>
    <t>pdf_001_p12_c01, url_001_c03, pdf_002_p05_c01, pdf_001_p13_c02, url_002_c01</t>
  </si>
  <si>
    <t>N/A</t>
  </si>
  <si>
    <t>✅ PASS</t>
  </si>
  <si>
    <t>Trả lời đúng thời hạn bảo hành pin 8 năm / 160.000 km</t>
  </si>
  <si>
    <t>Answer bám đúng nội dung chunk pdf_001_p12_c01</t>
  </si>
  <si>
    <t>Citation trỏ đúng chunk_045, page 12</t>
  </si>
  <si>
    <t>none</t>
  </si>
  <si>
    <t>Q02</t>
  </si>
  <si>
    <t>Điều kiện để được bảo hành pin là gì?</t>
  </si>
  <si>
    <t>Còn thời hạn bảo hành, có giấy tờ hợp lệ, không thuộc trường hợp từ chối</t>
  </si>
  <si>
    <t>pdf_001_p12_c01,pdf_001_p13_c02</t>
  </si>
  <si>
    <t>12-13</t>
  </si>
  <si>
    <t/>
  </si>
  <si>
    <t>Q03</t>
  </si>
  <si>
    <t>Bảo hành xe</t>
  </si>
  <si>
    <t>Trường hợp nào không được bảo hành?</t>
  </si>
  <si>
    <t>Tai nạn, tự ý sửa chữa, không bảo dưỡng định kỳ</t>
  </si>
  <si>
    <t>pdf_001_p15_c01</t>
  </si>
  <si>
    <t>Q04</t>
  </si>
  <si>
    <t>Nếu mất hóa đơn thì có được bảo hành không?</t>
  </si>
  <si>
    <t>Theo điều kiện tài liệu về giấy tờ hợp lệ</t>
  </si>
  <si>
    <t>pdf_001_p13_c02</t>
  </si>
  <si>
    <t>Q05</t>
  </si>
  <si>
    <t>Bảo hành có áp dụng cho phụ kiện không?</t>
  </si>
  <si>
    <t>Tùy loại phụ kiện, xem chính sách chi tiết</t>
  </si>
  <si>
    <t>pdf_001_p18_c01</t>
  </si>
  <si>
    <t>Q06</t>
  </si>
  <si>
    <t>Dịch vụ</t>
  </si>
  <si>
    <t>Người dùng cần mang xe đến đâu để bảo hành?</t>
  </si>
  <si>
    <t>Các trung tâm dịch vụ ủy quyền VinFast</t>
  </si>
  <si>
    <t>pdf_001_p20_c01</t>
  </si>
  <si>
    <t>Q07</t>
  </si>
  <si>
    <t>Thời gian bảo hành xe là bao lâu?</t>
  </si>
  <si>
    <t>5 năm hoặc 125.000 km tùy điều kiện nào đến trước</t>
  </si>
  <si>
    <t>pdf_001_p10_c01</t>
  </si>
  <si>
    <t>Q08</t>
  </si>
  <si>
    <t>Xe bị tai nạn có được bảo hành không?</t>
  </si>
  <si>
    <t>Không, tai nạn thuộc trường hợp từ chối bảo hành</t>
  </si>
  <si>
    <t>Q09</t>
  </si>
  <si>
    <t>Chính sách</t>
  </si>
  <si>
    <t>Chính sách bảo hành áp dụng từ ngày nào?</t>
  </si>
  <si>
    <t>Từ ngày mua xe, theo hợp đồng</t>
  </si>
  <si>
    <t>pdf_001_p08_c01</t>
  </si>
  <si>
    <t>Q10</t>
  </si>
  <si>
    <t>Out-of-scope</t>
  </si>
  <si>
    <t>Giá cổ phiếu VinFast hôm nay là bao nhiêu?</t>
  </si>
  <si>
    <t>Không có trong tài liệu</t>
  </si>
  <si>
    <t>NONE</t>
  </si>
  <si>
    <t>Q11</t>
  </si>
  <si>
    <t>Thời tiết Hà Nội hôm nay thế nào?</t>
  </si>
  <si>
    <t>📊 Evaluation Summary</t>
  </si>
  <si>
    <t>Metric</t>
  </si>
  <si>
    <t>Value</t>
  </si>
  <si>
    <t>Target</t>
  </si>
  <si>
    <t>Formula / Note</t>
  </si>
  <si>
    <t>Tổng câu hỏi test</t>
  </si>
  <si>
    <t>≥ 10</t>
  </si>
  <si>
    <t>Đếm số dòng có ID</t>
  </si>
  <si>
    <t>Câu in-scope</t>
  </si>
  <si>
    <t>is_out_of_scope = FALSE</t>
  </si>
  <si>
    <t>Câu out-of-scope</t>
  </si>
  <si>
    <t>≥ 1</t>
  </si>
  <si>
    <t>is_out_of_scope = TRUE</t>
  </si>
  <si>
    <t>Recall@5 (trung bình)</t>
  </si>
  <si>
    <t>≥ 0.70</t>
  </si>
  <si>
    <t>Trung bình recall_at_5 của câu in-scope</t>
  </si>
  <si>
    <t>MRR@5 (trung bình)</t>
  </si>
  <si>
    <t>≥ 0.50</t>
  </si>
  <si>
    <t>Trung bình mrr_at_5 của câu in-scope</t>
  </si>
  <si>
    <t>Guardrail Accuracy</t>
  </si>
  <si>
    <t>Số câu OOS từ chối đúng / tổng câu OOS</t>
  </si>
  <si>
    <t>Citation Accuracy</t>
  </si>
  <si>
    <t>≥ 0.80</t>
  </si>
  <si>
    <t>Số câu citation match / câu có recall=1</t>
  </si>
  <si>
    <t>Answer Accuracy (human)</t>
  </si>
  <si>
    <t>≥ 0.60</t>
  </si>
  <si>
    <t>Số câu PASS / tổng câu in-scope</t>
  </si>
  <si>
    <t>Answer Partial Rate</t>
  </si>
  <si>
    <t>Số câu PARTIAL / tổng câu in-scope</t>
  </si>
  <si>
    <t>Answer Fail Rate</t>
  </si>
  <si>
    <t>Số câu FAIL / tổng câu in-scope</t>
  </si>
  <si>
    <t>Retrieval Errors</t>
  </si>
  <si>
    <t>error_type = retrieval_error</t>
  </si>
  <si>
    <t>Ranking Errors</t>
  </si>
  <si>
    <t>error_type = ranking_error</t>
  </si>
  <si>
    <t>Generation Errors</t>
  </si>
  <si>
    <t>error_type = generation_error</t>
  </si>
  <si>
    <t>Citation Errors</t>
  </si>
  <si>
    <t>error_type = citation_error</t>
  </si>
  <si>
    <t>Guardrail Errors</t>
  </si>
  <si>
    <t>error_type = guardrail_error</t>
  </si>
  <si>
    <t>RAGAS Faithfulness</t>
  </si>
  <si>
    <t>Độ trung thực của answer so với context</t>
  </si>
  <si>
    <t>RAGAS Answer Relevancy</t>
  </si>
  <si>
    <t>Độ liên quan của answer so với question</t>
  </si>
  <si>
    <t>RAGAS Context Precision</t>
  </si>
  <si>
    <t>Tỉ lệ context hữu ích</t>
  </si>
  <si>
    <t>RAGAS Context Recall</t>
  </si>
  <si>
    <t>Khả năng retrieve đủ thông tin</t>
  </si>
  <si>
    <t>📋 Hướng dẫn nhanh</t>
  </si>
  <si>
    <t>Bước 1</t>
  </si>
  <si>
    <t>HUMAN: Điền cột A→I (vàng) — câu hỏi test, expected answer, ground truth chunk IDs</t>
  </si>
  <si>
    <t>Bước 2</t>
  </si>
  <si>
    <t>CODE: Chạy script → tự điền cột J→N (xanh lá) — pipeline output</t>
  </si>
  <si>
    <t>Bước 3</t>
  </si>
  <si>
    <t>CODE: Script tự tính cột O→T (xanh dương) và AC→AF (tím) cho RAGAS</t>
  </si>
  <si>
    <t>Bước 4</t>
  </si>
  <si>
    <t>HUMAN: Review cột U→AB (cam) — check answer, KB usage, citation, error type</t>
  </si>
  <si>
    <t>▶️ Lệnh chạy</t>
  </si>
  <si>
    <t>python scripts/run_evaluation.py --input guide/reports/evaluation_dataset_v3.xlsx --output guide/reports/evaluation_results.xlsx --ragas</t>
  </si>
  <si>
    <t>Bươc 2 và 3</t>
  </si>
  <si>
    <t>Giá trị cột H</t>
  </si>
  <si>
    <t>TRUE = câu hỏi out-of-scope (test guardrails), FALSE = câu in-scope</t>
  </si>
  <si>
    <t>Giá trị cột E</t>
  </si>
  <si>
    <t>Chunk ID chứa answer. Nhiều chunk cách bằng dấu phẩy. Out-of-scope ghi NONE</t>
  </si>
  <si>
    <t>Giá trị cột P</t>
  </si>
  <si>
    <t>Rank của ground truth trong top 5. -1 = không tìm thấy</t>
  </si>
  <si>
    <t>Giá trị cột Q</t>
  </si>
  <si>
    <t>1 = ground truth nằm trong top 5, 0 = không</t>
  </si>
  <si>
    <t>Giá trị cột R</t>
  </si>
  <si>
    <t>1/rank nếu tìm thấy, 0 nếu không. Ví dụ rank 2 → 0.5</t>
  </si>
  <si>
    <t>Giá trị cột T</t>
  </si>
  <si>
    <t>TRUE = từ chối đúng câu OOS, FALSE = trả lời bừa, N/A = câu in-scope</t>
  </si>
  <si>
    <t>Giá trị cột AA</t>
  </si>
  <si>
    <t>none / retrieval_error / ranking_error / generation_error / citation_error / guardrail_error</t>
  </si>
  <si>
    <t>Giá trị cột AC→AF</t>
  </si>
  <si>
    <t>Điểm RAGAS từ 0.0 đến 1.0 (do LLM-as-a-judge chấm)</t>
  </si>
  <si>
    <t>⚠️ Lưu ý</t>
  </si>
  <si>
    <t>Câu out-of-scope KHÔNG tính Recall@5, MRR@5 và RAGAS</t>
  </si>
  <si>
    <t>Ground truth chunk IDs cần đúng với chunk_id trong hệ thống</t>
  </si>
  <si>
    <t>Xem evaluation_data_guide.md để có hướng dẫn chi tiết đầy đủ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</si>
</sst>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9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1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4A86C8"/>
        <bgColor rgb="FF4A86C8"/>
      </patternFill>
    </fill>
    <fill>
      <patternFill patternType="solid">
        <fgColor rgb="FFE8F0FE"/>
        <bgColor rgb="FFE8F0FE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9" fillId="26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37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0" borderId="4" applyNumberForma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17" borderId="2" applyNumberForma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5" fillId="17" borderId="4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4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4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4.4"/>
  <cols>
    <col min="1" max="1" width="6" customWidth="1"/>
    <col min="2" max="2" width="18" customWidth="1"/>
    <col min="3" max="4" width="45" customWidth="1"/>
    <col min="5" max="5" width="28" customWidth="1"/>
    <col min="6" max="6" width="25" customWidth="1"/>
    <col min="7" max="7" width="12" customWidth="1"/>
    <col min="8" max="9" width="14" customWidth="1"/>
    <col min="10" max="10" width="40" customWidth="1"/>
    <col min="11" max="12" width="50" customWidth="1"/>
    <col min="13" max="13" width="40" customWidth="1"/>
    <col min="14" max="15" width="35" customWidth="1"/>
    <col min="16" max="16" width="14" customWidth="1"/>
    <col min="17" max="18" width="10" customWidth="1"/>
    <col min="19" max="19" width="16" customWidth="1"/>
    <col min="20" max="20" width="12" customWidth="1"/>
    <col min="21" max="21" width="18" customWidth="1"/>
    <col min="22" max="22" width="45" customWidth="1"/>
    <col min="23" max="23" width="14" customWidth="1"/>
    <col min="24" max="24" width="45" customWidth="1"/>
    <col min="25" max="25" width="18" customWidth="1"/>
    <col min="26" max="26" width="40" customWidth="1"/>
    <col min="27" max="27" width="16" customWidth="1"/>
    <col min="28" max="28" width="14" customWidth="1"/>
    <col min="29" max="29" width="18" customWidth="1"/>
    <col min="30" max="31" width="22" customWidth="1"/>
    <col min="32" max="32" width="20" customWidth="1"/>
  </cols>
  <sheetData>
    <row r="1" ht="25" customHeight="1" spans="1:3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3" t="s">
        <v>1</v>
      </c>
      <c r="K1" s="14"/>
      <c r="L1" s="14"/>
      <c r="M1" s="14"/>
      <c r="N1" s="14"/>
      <c r="O1" s="15" t="s">
        <v>2</v>
      </c>
      <c r="P1" s="16"/>
      <c r="Q1" s="16"/>
      <c r="R1" s="16"/>
      <c r="S1" s="16"/>
      <c r="T1" s="16"/>
      <c r="U1" s="21" t="s">
        <v>3</v>
      </c>
      <c r="V1" s="22"/>
      <c r="W1" s="22"/>
      <c r="X1" s="22"/>
      <c r="Y1" s="22"/>
      <c r="Z1" s="22"/>
      <c r="AA1" s="22"/>
      <c r="AB1" s="22"/>
      <c r="AC1" s="25" t="s">
        <v>4</v>
      </c>
      <c r="AD1" s="26"/>
      <c r="AE1" s="26"/>
      <c r="AF1" s="26"/>
    </row>
    <row r="2" ht="30" customHeight="1" spans="1:32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8" t="s">
        <v>19</v>
      </c>
      <c r="P2" s="18" t="s">
        <v>20</v>
      </c>
      <c r="Q2" s="18" t="s">
        <v>21</v>
      </c>
      <c r="R2" s="18" t="s">
        <v>22</v>
      </c>
      <c r="S2" s="18" t="s">
        <v>23</v>
      </c>
      <c r="T2" s="18" t="s">
        <v>24</v>
      </c>
      <c r="U2" s="23" t="s">
        <v>25</v>
      </c>
      <c r="V2" s="23" t="s">
        <v>26</v>
      </c>
      <c r="W2" s="23" t="s">
        <v>27</v>
      </c>
      <c r="X2" s="23" t="s">
        <v>28</v>
      </c>
      <c r="Y2" s="23" t="s">
        <v>29</v>
      </c>
      <c r="Z2" s="23" t="s">
        <v>30</v>
      </c>
      <c r="AA2" s="23" t="s">
        <v>31</v>
      </c>
      <c r="AB2" s="23" t="s">
        <v>32</v>
      </c>
      <c r="AC2" s="27" t="s">
        <v>33</v>
      </c>
      <c r="AD2" s="27" t="s">
        <v>34</v>
      </c>
      <c r="AE2" s="27" t="s">
        <v>35</v>
      </c>
      <c r="AF2" s="27" t="s">
        <v>36</v>
      </c>
    </row>
    <row r="3" ht="60" customHeight="1" spans="1:32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>
        <v>12</v>
      </c>
      <c r="H3" s="12" t="b">
        <v>0</v>
      </c>
      <c r="I3" s="12" t="s">
        <v>43</v>
      </c>
      <c r="J3" s="19" t="s">
        <v>44</v>
      </c>
      <c r="K3" s="19" t="s">
        <v>45</v>
      </c>
      <c r="L3" s="19" t="s">
        <v>46</v>
      </c>
      <c r="M3" s="19" t="s">
        <v>47</v>
      </c>
      <c r="N3" s="19" t="s">
        <v>48</v>
      </c>
      <c r="O3" s="20" t="s">
        <v>49</v>
      </c>
      <c r="P3" s="20">
        <v>1</v>
      </c>
      <c r="Q3" s="20">
        <v>1</v>
      </c>
      <c r="R3" s="20">
        <v>1</v>
      </c>
      <c r="S3" s="20" t="b">
        <v>1</v>
      </c>
      <c r="T3" s="20" t="s">
        <v>50</v>
      </c>
      <c r="U3" s="24" t="s">
        <v>51</v>
      </c>
      <c r="V3" s="24" t="s">
        <v>52</v>
      </c>
      <c r="W3" s="24" t="s">
        <v>51</v>
      </c>
      <c r="X3" s="24" t="s">
        <v>53</v>
      </c>
      <c r="Y3" s="24" t="s">
        <v>51</v>
      </c>
      <c r="Z3" s="24" t="s">
        <v>54</v>
      </c>
      <c r="AA3" s="24" t="s">
        <v>55</v>
      </c>
      <c r="AB3" s="24" t="s">
        <v>51</v>
      </c>
      <c r="AC3" s="28">
        <v>0.95</v>
      </c>
      <c r="AD3" s="28">
        <v>0.9</v>
      </c>
      <c r="AE3" s="28">
        <v>1</v>
      </c>
      <c r="AF3" s="28">
        <v>1</v>
      </c>
    </row>
    <row r="4" ht="60" customHeight="1" spans="1:32">
      <c r="A4" s="12" t="s">
        <v>56</v>
      </c>
      <c r="B4" s="12" t="s">
        <v>38</v>
      </c>
      <c r="C4" s="12" t="s">
        <v>57</v>
      </c>
      <c r="D4" s="12" t="s">
        <v>58</v>
      </c>
      <c r="E4" s="12" t="s">
        <v>59</v>
      </c>
      <c r="F4" s="12" t="s">
        <v>42</v>
      </c>
      <c r="G4" s="12" t="s">
        <v>60</v>
      </c>
      <c r="H4" s="12" t="b">
        <v>0</v>
      </c>
      <c r="I4" s="12" t="s">
        <v>61</v>
      </c>
      <c r="J4" s="19" t="s">
        <v>61</v>
      </c>
      <c r="K4" s="19" t="s">
        <v>61</v>
      </c>
      <c r="L4" s="19" t="s">
        <v>61</v>
      </c>
      <c r="M4" s="19" t="s">
        <v>61</v>
      </c>
      <c r="N4" s="19" t="s">
        <v>61</v>
      </c>
      <c r="O4" s="20" t="s">
        <v>61</v>
      </c>
      <c r="P4" s="20" t="s">
        <v>61</v>
      </c>
      <c r="Q4" s="20" t="s">
        <v>61</v>
      </c>
      <c r="R4" s="20" t="s">
        <v>61</v>
      </c>
      <c r="S4" s="20" t="s">
        <v>61</v>
      </c>
      <c r="T4" s="20" t="s">
        <v>61</v>
      </c>
      <c r="U4" s="24" t="s">
        <v>61</v>
      </c>
      <c r="V4" s="24" t="s">
        <v>61</v>
      </c>
      <c r="W4" s="24" t="s">
        <v>61</v>
      </c>
      <c r="X4" s="24" t="s">
        <v>61</v>
      </c>
      <c r="Y4" s="24" t="s">
        <v>61</v>
      </c>
      <c r="Z4" s="24" t="s">
        <v>61</v>
      </c>
      <c r="AA4" s="24" t="s">
        <v>61</v>
      </c>
      <c r="AB4" s="24" t="s">
        <v>61</v>
      </c>
      <c r="AC4" s="28" t="s">
        <v>61</v>
      </c>
      <c r="AD4" s="28" t="s">
        <v>61</v>
      </c>
      <c r="AE4" s="28" t="s">
        <v>61</v>
      </c>
      <c r="AF4" s="28" t="s">
        <v>61</v>
      </c>
    </row>
    <row r="5" ht="60" customHeight="1" spans="1:32">
      <c r="A5" s="12" t="s">
        <v>62</v>
      </c>
      <c r="B5" s="12" t="s">
        <v>63</v>
      </c>
      <c r="C5" s="12" t="s">
        <v>64</v>
      </c>
      <c r="D5" s="12" t="s">
        <v>65</v>
      </c>
      <c r="E5" s="12" t="s">
        <v>66</v>
      </c>
      <c r="F5" s="12" t="s">
        <v>42</v>
      </c>
      <c r="G5" s="12">
        <v>15</v>
      </c>
      <c r="H5" s="12" t="b">
        <v>0</v>
      </c>
      <c r="I5" s="12" t="s">
        <v>61</v>
      </c>
      <c r="J5" s="19" t="s">
        <v>61</v>
      </c>
      <c r="K5" s="19" t="s">
        <v>61</v>
      </c>
      <c r="L5" s="19" t="s">
        <v>61</v>
      </c>
      <c r="M5" s="19" t="s">
        <v>61</v>
      </c>
      <c r="N5" s="19" t="s">
        <v>61</v>
      </c>
      <c r="O5" s="20" t="s">
        <v>61</v>
      </c>
      <c r="P5" s="20" t="s">
        <v>61</v>
      </c>
      <c r="Q5" s="20" t="s">
        <v>61</v>
      </c>
      <c r="R5" s="20" t="s">
        <v>61</v>
      </c>
      <c r="S5" s="20" t="s">
        <v>61</v>
      </c>
      <c r="T5" s="20" t="s">
        <v>61</v>
      </c>
      <c r="U5" s="24" t="s">
        <v>61</v>
      </c>
      <c r="V5" s="24" t="s">
        <v>61</v>
      </c>
      <c r="W5" s="24" t="s">
        <v>61</v>
      </c>
      <c r="X5" s="24" t="s">
        <v>61</v>
      </c>
      <c r="Y5" s="24" t="s">
        <v>61</v>
      </c>
      <c r="Z5" s="24" t="s">
        <v>61</v>
      </c>
      <c r="AA5" s="24" t="s">
        <v>61</v>
      </c>
      <c r="AB5" s="24" t="s">
        <v>61</v>
      </c>
      <c r="AC5" s="28" t="s">
        <v>61</v>
      </c>
      <c r="AD5" s="28" t="s">
        <v>61</v>
      </c>
      <c r="AE5" s="28" t="s">
        <v>61</v>
      </c>
      <c r="AF5" s="28" t="s">
        <v>61</v>
      </c>
    </row>
    <row r="6" ht="60" customHeight="1" spans="1:32">
      <c r="A6" s="12" t="s">
        <v>67</v>
      </c>
      <c r="B6" s="12" t="s">
        <v>63</v>
      </c>
      <c r="C6" s="12" t="s">
        <v>68</v>
      </c>
      <c r="D6" s="12" t="s">
        <v>69</v>
      </c>
      <c r="E6" s="12" t="s">
        <v>70</v>
      </c>
      <c r="F6" s="12" t="s">
        <v>42</v>
      </c>
      <c r="G6" s="12">
        <v>13</v>
      </c>
      <c r="H6" s="12" t="b">
        <v>0</v>
      </c>
      <c r="I6" s="12" t="s">
        <v>61</v>
      </c>
      <c r="J6" s="19" t="s">
        <v>61</v>
      </c>
      <c r="K6" s="19" t="s">
        <v>61</v>
      </c>
      <c r="L6" s="19" t="s">
        <v>61</v>
      </c>
      <c r="M6" s="19" t="s">
        <v>61</v>
      </c>
      <c r="N6" s="19" t="s">
        <v>61</v>
      </c>
      <c r="O6" s="20" t="s">
        <v>61</v>
      </c>
      <c r="P6" s="20" t="s">
        <v>61</v>
      </c>
      <c r="Q6" s="20" t="s">
        <v>61</v>
      </c>
      <c r="R6" s="20" t="s">
        <v>61</v>
      </c>
      <c r="S6" s="20" t="s">
        <v>61</v>
      </c>
      <c r="T6" s="20" t="s">
        <v>61</v>
      </c>
      <c r="U6" s="24" t="s">
        <v>61</v>
      </c>
      <c r="V6" s="24" t="s">
        <v>61</v>
      </c>
      <c r="W6" s="24" t="s">
        <v>61</v>
      </c>
      <c r="X6" s="24" t="s">
        <v>61</v>
      </c>
      <c r="Y6" s="24" t="s">
        <v>61</v>
      </c>
      <c r="Z6" s="24" t="s">
        <v>61</v>
      </c>
      <c r="AA6" s="24" t="s">
        <v>61</v>
      </c>
      <c r="AB6" s="24" t="s">
        <v>61</v>
      </c>
      <c r="AC6" s="28" t="s">
        <v>61</v>
      </c>
      <c r="AD6" s="28" t="s">
        <v>61</v>
      </c>
      <c r="AE6" s="28" t="s">
        <v>61</v>
      </c>
      <c r="AF6" s="28" t="s">
        <v>61</v>
      </c>
    </row>
    <row r="7" ht="60" customHeight="1" spans="1:32">
      <c r="A7" s="12" t="s">
        <v>71</v>
      </c>
      <c r="B7" s="12" t="s">
        <v>63</v>
      </c>
      <c r="C7" s="12" t="s">
        <v>72</v>
      </c>
      <c r="D7" s="12" t="s">
        <v>73</v>
      </c>
      <c r="E7" s="12" t="s">
        <v>74</v>
      </c>
      <c r="F7" s="12" t="s">
        <v>42</v>
      </c>
      <c r="G7" s="12">
        <v>18</v>
      </c>
      <c r="H7" s="12" t="b">
        <v>0</v>
      </c>
      <c r="I7" s="12" t="s">
        <v>61</v>
      </c>
      <c r="J7" s="19" t="s">
        <v>61</v>
      </c>
      <c r="K7" s="19" t="s">
        <v>61</v>
      </c>
      <c r="L7" s="19" t="s">
        <v>61</v>
      </c>
      <c r="M7" s="19" t="s">
        <v>61</v>
      </c>
      <c r="N7" s="19" t="s">
        <v>61</v>
      </c>
      <c r="O7" s="20" t="s">
        <v>61</v>
      </c>
      <c r="P7" s="20" t="s">
        <v>61</v>
      </c>
      <c r="Q7" s="20" t="s">
        <v>61</v>
      </c>
      <c r="R7" s="20" t="s">
        <v>61</v>
      </c>
      <c r="S7" s="20" t="s">
        <v>61</v>
      </c>
      <c r="T7" s="20" t="s">
        <v>61</v>
      </c>
      <c r="U7" s="24" t="s">
        <v>61</v>
      </c>
      <c r="V7" s="24" t="s">
        <v>61</v>
      </c>
      <c r="W7" s="24" t="s">
        <v>61</v>
      </c>
      <c r="X7" s="24" t="s">
        <v>61</v>
      </c>
      <c r="Y7" s="24" t="s">
        <v>61</v>
      </c>
      <c r="Z7" s="24" t="s">
        <v>61</v>
      </c>
      <c r="AA7" s="24" t="s">
        <v>61</v>
      </c>
      <c r="AB7" s="24" t="s">
        <v>61</v>
      </c>
      <c r="AC7" s="28" t="s">
        <v>61</v>
      </c>
      <c r="AD7" s="28" t="s">
        <v>61</v>
      </c>
      <c r="AE7" s="28" t="s">
        <v>61</v>
      </c>
      <c r="AF7" s="28" t="s">
        <v>61</v>
      </c>
    </row>
    <row r="8" ht="60" customHeight="1" spans="1:32">
      <c r="A8" s="12" t="s">
        <v>75</v>
      </c>
      <c r="B8" s="12" t="s">
        <v>76</v>
      </c>
      <c r="C8" s="12" t="s">
        <v>77</v>
      </c>
      <c r="D8" s="12" t="s">
        <v>78</v>
      </c>
      <c r="E8" s="12" t="s">
        <v>79</v>
      </c>
      <c r="F8" s="12" t="s">
        <v>42</v>
      </c>
      <c r="G8" s="12">
        <v>20</v>
      </c>
      <c r="H8" s="12" t="b">
        <v>0</v>
      </c>
      <c r="I8" s="12" t="s">
        <v>61</v>
      </c>
      <c r="J8" s="19" t="s">
        <v>61</v>
      </c>
      <c r="K8" s="19" t="s">
        <v>61</v>
      </c>
      <c r="L8" s="19" t="s">
        <v>61</v>
      </c>
      <c r="M8" s="19" t="s">
        <v>61</v>
      </c>
      <c r="N8" s="19" t="s">
        <v>61</v>
      </c>
      <c r="O8" s="20" t="s">
        <v>61</v>
      </c>
      <c r="P8" s="20" t="s">
        <v>61</v>
      </c>
      <c r="Q8" s="20" t="s">
        <v>61</v>
      </c>
      <c r="R8" s="20" t="s">
        <v>61</v>
      </c>
      <c r="S8" s="20" t="s">
        <v>61</v>
      </c>
      <c r="T8" s="20" t="s">
        <v>61</v>
      </c>
      <c r="U8" s="24" t="s">
        <v>61</v>
      </c>
      <c r="V8" s="24" t="s">
        <v>61</v>
      </c>
      <c r="W8" s="24" t="s">
        <v>61</v>
      </c>
      <c r="X8" s="24" t="s">
        <v>61</v>
      </c>
      <c r="Y8" s="24" t="s">
        <v>61</v>
      </c>
      <c r="Z8" s="24" t="s">
        <v>61</v>
      </c>
      <c r="AA8" s="24" t="s">
        <v>61</v>
      </c>
      <c r="AB8" s="24" t="s">
        <v>61</v>
      </c>
      <c r="AC8" s="28" t="s">
        <v>61</v>
      </c>
      <c r="AD8" s="28" t="s">
        <v>61</v>
      </c>
      <c r="AE8" s="28" t="s">
        <v>61</v>
      </c>
      <c r="AF8" s="28" t="s">
        <v>61</v>
      </c>
    </row>
    <row r="9" ht="60" customHeight="1" spans="1:32">
      <c r="A9" s="12" t="s">
        <v>80</v>
      </c>
      <c r="B9" s="12" t="s">
        <v>63</v>
      </c>
      <c r="C9" s="12" t="s">
        <v>81</v>
      </c>
      <c r="D9" s="12" t="s">
        <v>82</v>
      </c>
      <c r="E9" s="12" t="s">
        <v>83</v>
      </c>
      <c r="F9" s="12" t="s">
        <v>42</v>
      </c>
      <c r="G9" s="12">
        <v>10</v>
      </c>
      <c r="H9" s="12" t="b">
        <v>0</v>
      </c>
      <c r="I9" s="12" t="s">
        <v>61</v>
      </c>
      <c r="J9" s="19" t="s">
        <v>61</v>
      </c>
      <c r="K9" s="19" t="s">
        <v>61</v>
      </c>
      <c r="L9" s="19" t="s">
        <v>61</v>
      </c>
      <c r="M9" s="19" t="s">
        <v>61</v>
      </c>
      <c r="N9" s="19" t="s">
        <v>61</v>
      </c>
      <c r="O9" s="20" t="s">
        <v>61</v>
      </c>
      <c r="P9" s="20" t="s">
        <v>61</v>
      </c>
      <c r="Q9" s="20" t="s">
        <v>61</v>
      </c>
      <c r="R9" s="20" t="s">
        <v>61</v>
      </c>
      <c r="S9" s="20" t="s">
        <v>61</v>
      </c>
      <c r="T9" s="20" t="s">
        <v>61</v>
      </c>
      <c r="U9" s="24" t="s">
        <v>61</v>
      </c>
      <c r="V9" s="24" t="s">
        <v>61</v>
      </c>
      <c r="W9" s="24" t="s">
        <v>61</v>
      </c>
      <c r="X9" s="24" t="s">
        <v>61</v>
      </c>
      <c r="Y9" s="24" t="s">
        <v>61</v>
      </c>
      <c r="Z9" s="24" t="s">
        <v>61</v>
      </c>
      <c r="AA9" s="24" t="s">
        <v>61</v>
      </c>
      <c r="AB9" s="24" t="s">
        <v>61</v>
      </c>
      <c r="AC9" s="28" t="s">
        <v>61</v>
      </c>
      <c r="AD9" s="28" t="s">
        <v>61</v>
      </c>
      <c r="AE9" s="28" t="s">
        <v>61</v>
      </c>
      <c r="AF9" s="28" t="s">
        <v>61</v>
      </c>
    </row>
    <row r="10" ht="60" customHeight="1" spans="1:32">
      <c r="A10" s="12" t="s">
        <v>84</v>
      </c>
      <c r="B10" s="12" t="s">
        <v>63</v>
      </c>
      <c r="C10" s="12" t="s">
        <v>85</v>
      </c>
      <c r="D10" s="12" t="s">
        <v>86</v>
      </c>
      <c r="E10" s="12" t="s">
        <v>66</v>
      </c>
      <c r="F10" s="12" t="s">
        <v>42</v>
      </c>
      <c r="G10" s="12">
        <v>15</v>
      </c>
      <c r="H10" s="12" t="b">
        <v>0</v>
      </c>
      <c r="I10" s="12" t="s">
        <v>61</v>
      </c>
      <c r="J10" s="19" t="s">
        <v>61</v>
      </c>
      <c r="K10" s="19" t="s">
        <v>61</v>
      </c>
      <c r="L10" s="19" t="s">
        <v>61</v>
      </c>
      <c r="M10" s="19" t="s">
        <v>61</v>
      </c>
      <c r="N10" s="19" t="s">
        <v>61</v>
      </c>
      <c r="O10" s="20" t="s">
        <v>61</v>
      </c>
      <c r="P10" s="20" t="s">
        <v>61</v>
      </c>
      <c r="Q10" s="20" t="s">
        <v>61</v>
      </c>
      <c r="R10" s="20" t="s">
        <v>61</v>
      </c>
      <c r="S10" s="20" t="s">
        <v>61</v>
      </c>
      <c r="T10" s="20" t="s">
        <v>61</v>
      </c>
      <c r="U10" s="24" t="s">
        <v>61</v>
      </c>
      <c r="V10" s="24" t="s">
        <v>61</v>
      </c>
      <c r="W10" s="24" t="s">
        <v>61</v>
      </c>
      <c r="X10" s="24" t="s">
        <v>61</v>
      </c>
      <c r="Y10" s="24" t="s">
        <v>61</v>
      </c>
      <c r="Z10" s="24" t="s">
        <v>61</v>
      </c>
      <c r="AA10" s="24" t="s">
        <v>61</v>
      </c>
      <c r="AB10" s="24" t="s">
        <v>61</v>
      </c>
      <c r="AC10" s="28" t="s">
        <v>61</v>
      </c>
      <c r="AD10" s="28" t="s">
        <v>61</v>
      </c>
      <c r="AE10" s="28" t="s">
        <v>61</v>
      </c>
      <c r="AF10" s="28" t="s">
        <v>61</v>
      </c>
    </row>
    <row r="11" ht="60" customHeight="1" spans="1:32">
      <c r="A11" s="12" t="s">
        <v>87</v>
      </c>
      <c r="B11" s="12" t="s">
        <v>88</v>
      </c>
      <c r="C11" s="12" t="s">
        <v>89</v>
      </c>
      <c r="D11" s="12" t="s">
        <v>90</v>
      </c>
      <c r="E11" s="12" t="s">
        <v>91</v>
      </c>
      <c r="F11" s="12" t="s">
        <v>42</v>
      </c>
      <c r="G11" s="12">
        <v>8</v>
      </c>
      <c r="H11" s="12" t="b">
        <v>0</v>
      </c>
      <c r="I11" s="12" t="s">
        <v>61</v>
      </c>
      <c r="J11" s="19" t="s">
        <v>61</v>
      </c>
      <c r="K11" s="19" t="s">
        <v>61</v>
      </c>
      <c r="L11" s="19" t="s">
        <v>61</v>
      </c>
      <c r="M11" s="19" t="s">
        <v>61</v>
      </c>
      <c r="N11" s="19" t="s">
        <v>61</v>
      </c>
      <c r="O11" s="20" t="s">
        <v>61</v>
      </c>
      <c r="P11" s="20" t="s">
        <v>61</v>
      </c>
      <c r="Q11" s="20" t="s">
        <v>61</v>
      </c>
      <c r="R11" s="20" t="s">
        <v>61</v>
      </c>
      <c r="S11" s="20" t="s">
        <v>61</v>
      </c>
      <c r="T11" s="20" t="s">
        <v>61</v>
      </c>
      <c r="U11" s="24" t="s">
        <v>61</v>
      </c>
      <c r="V11" s="24" t="s">
        <v>61</v>
      </c>
      <c r="W11" s="24" t="s">
        <v>61</v>
      </c>
      <c r="X11" s="24" t="s">
        <v>61</v>
      </c>
      <c r="Y11" s="24" t="s">
        <v>61</v>
      </c>
      <c r="Z11" s="24" t="s">
        <v>61</v>
      </c>
      <c r="AA11" s="24" t="s">
        <v>61</v>
      </c>
      <c r="AB11" s="24" t="s">
        <v>61</v>
      </c>
      <c r="AC11" s="28" t="s">
        <v>61</v>
      </c>
      <c r="AD11" s="28" t="s">
        <v>61</v>
      </c>
      <c r="AE11" s="28" t="s">
        <v>61</v>
      </c>
      <c r="AF11" s="28" t="s">
        <v>61</v>
      </c>
    </row>
    <row r="12" ht="60" customHeight="1" spans="1:32">
      <c r="A12" s="12" t="s">
        <v>92</v>
      </c>
      <c r="B12" s="12" t="s">
        <v>93</v>
      </c>
      <c r="C12" s="12" t="s">
        <v>94</v>
      </c>
      <c r="D12" s="12" t="s">
        <v>95</v>
      </c>
      <c r="E12" s="12" t="s">
        <v>96</v>
      </c>
      <c r="F12" s="12" t="s">
        <v>61</v>
      </c>
      <c r="G12" s="12" t="s">
        <v>61</v>
      </c>
      <c r="H12" s="12" t="b">
        <v>1</v>
      </c>
      <c r="I12" s="12" t="s">
        <v>43</v>
      </c>
      <c r="J12" s="19" t="s">
        <v>61</v>
      </c>
      <c r="K12" s="19" t="s">
        <v>61</v>
      </c>
      <c r="L12" s="19" t="s">
        <v>61</v>
      </c>
      <c r="M12" s="19" t="s">
        <v>61</v>
      </c>
      <c r="N12" s="19" t="s">
        <v>61</v>
      </c>
      <c r="O12" s="20" t="s">
        <v>61</v>
      </c>
      <c r="P12" s="20" t="s">
        <v>61</v>
      </c>
      <c r="Q12" s="20" t="s">
        <v>61</v>
      </c>
      <c r="R12" s="20" t="s">
        <v>61</v>
      </c>
      <c r="S12" s="20" t="s">
        <v>61</v>
      </c>
      <c r="T12" s="20" t="s">
        <v>61</v>
      </c>
      <c r="U12" s="24" t="s">
        <v>61</v>
      </c>
      <c r="V12" s="24" t="s">
        <v>61</v>
      </c>
      <c r="W12" s="24" t="s">
        <v>61</v>
      </c>
      <c r="X12" s="24" t="s">
        <v>61</v>
      </c>
      <c r="Y12" s="24" t="s">
        <v>61</v>
      </c>
      <c r="Z12" s="24" t="s">
        <v>61</v>
      </c>
      <c r="AA12" s="24" t="s">
        <v>61</v>
      </c>
      <c r="AB12" s="24" t="s">
        <v>61</v>
      </c>
      <c r="AC12" s="28" t="s">
        <v>61</v>
      </c>
      <c r="AD12" s="28" t="s">
        <v>61</v>
      </c>
      <c r="AE12" s="28" t="s">
        <v>61</v>
      </c>
      <c r="AF12" s="28" t="s">
        <v>61</v>
      </c>
    </row>
    <row r="13" ht="60" customHeight="1" spans="1:32">
      <c r="A13" s="12" t="s">
        <v>97</v>
      </c>
      <c r="B13" s="12" t="s">
        <v>93</v>
      </c>
      <c r="C13" s="12" t="s">
        <v>98</v>
      </c>
      <c r="D13" s="12" t="s">
        <v>95</v>
      </c>
      <c r="E13" s="12" t="s">
        <v>96</v>
      </c>
      <c r="F13" s="12" t="s">
        <v>61</v>
      </c>
      <c r="G13" s="12" t="s">
        <v>61</v>
      </c>
      <c r="H13" s="12" t="b">
        <v>1</v>
      </c>
      <c r="I13" s="12" t="s">
        <v>61</v>
      </c>
      <c r="J13" s="19" t="s">
        <v>61</v>
      </c>
      <c r="K13" s="19" t="s">
        <v>61</v>
      </c>
      <c r="L13" s="19" t="s">
        <v>61</v>
      </c>
      <c r="M13" s="19" t="s">
        <v>61</v>
      </c>
      <c r="N13" s="19" t="s">
        <v>61</v>
      </c>
      <c r="O13" s="20" t="s">
        <v>61</v>
      </c>
      <c r="P13" s="20" t="s">
        <v>61</v>
      </c>
      <c r="Q13" s="20" t="s">
        <v>61</v>
      </c>
      <c r="R13" s="20" t="s">
        <v>61</v>
      </c>
      <c r="S13" s="20" t="s">
        <v>61</v>
      </c>
      <c r="T13" s="20" t="s">
        <v>61</v>
      </c>
      <c r="U13" s="24" t="s">
        <v>61</v>
      </c>
      <c r="V13" s="24" t="s">
        <v>61</v>
      </c>
      <c r="W13" s="24" t="s">
        <v>61</v>
      </c>
      <c r="X13" s="24" t="s">
        <v>61</v>
      </c>
      <c r="Y13" s="24" t="s">
        <v>61</v>
      </c>
      <c r="Z13" s="24" t="s">
        <v>61</v>
      </c>
      <c r="AA13" s="24" t="s">
        <v>61</v>
      </c>
      <c r="AB13" s="24" t="s">
        <v>61</v>
      </c>
      <c r="AC13" s="28" t="s">
        <v>61</v>
      </c>
      <c r="AD13" s="28" t="s">
        <v>61</v>
      </c>
      <c r="AE13" s="28" t="s">
        <v>61</v>
      </c>
      <c r="AF13" s="28" t="s">
        <v>61</v>
      </c>
    </row>
  </sheetData>
  <mergeCells count="5">
    <mergeCell ref="A1:I1"/>
    <mergeCell ref="J1:N1"/>
    <mergeCell ref="O1:T1"/>
    <mergeCell ref="U1:AB1"/>
    <mergeCell ref="AC1:AF1"/>
  </mergeCells>
  <dataValidations count="5">
    <dataValidation type="list" allowBlank="1" sqref="H3:H1000 S3:S1000">
      <formula1>"TRUE,FALSE"</formula1>
    </dataValidation>
    <dataValidation type="list" allowBlank="1" sqref="AA3:AA1000">
      <formula1>"none,retrieval_error,ranking_error,generation_error,citation_error,guardrail_error,rewrite_error"</formula1>
    </dataValidation>
    <dataValidation type="list" allowBlank="1" sqref="I3:I1000">
      <formula1>"$RESET"</formula1>
    </dataValidation>
    <dataValidation type="list" allowBlank="1" sqref="T3:T1000">
      <formula1>"TRUE,FALSE,N/A"</formula1>
    </dataValidation>
    <dataValidation type="list" allowBlank="1" sqref="U3:U1000 W3:W1000 Y3:Y1000 AB3:AB1000">
      <formula1>"✅ PASS,⚠️ PARTIAL,❌ FAIL"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35" customWidth="1"/>
    <col min="2" max="3" width="18" customWidth="1"/>
    <col min="4" max="4" width="50" customWidth="1"/>
  </cols>
  <sheetData>
    <row r="1" ht="17.4" spans="1:1">
      <c r="A1" s="1" t="s">
        <v>99</v>
      </c>
    </row>
    <row r="3" spans="1:4">
      <c r="A3" s="4" t="s">
        <v>100</v>
      </c>
      <c r="B3" s="4" t="s">
        <v>101</v>
      </c>
      <c r="C3" s="4" t="s">
        <v>102</v>
      </c>
      <c r="D3" s="4" t="s">
        <v>103</v>
      </c>
    </row>
    <row r="4" spans="1:4">
      <c r="A4" s="5" t="s">
        <v>104</v>
      </c>
      <c r="B4" s="6">
        <f>COUNTA(Evaluation!A3:A100)-COUNTBLANK(Evaluation!A3:A100)</f>
        <v>-76</v>
      </c>
      <c r="C4" s="6" t="s">
        <v>105</v>
      </c>
      <c r="D4" s="6" t="s">
        <v>106</v>
      </c>
    </row>
    <row r="5" spans="1:4">
      <c r="A5" s="7" t="s">
        <v>107</v>
      </c>
      <c r="B5" s="8">
        <f>COUNTIF(Evaluation!H3:H100,FALSE)</f>
        <v>9</v>
      </c>
      <c r="C5" s="8" t="s">
        <v>61</v>
      </c>
      <c r="D5" s="8" t="s">
        <v>108</v>
      </c>
    </row>
    <row r="6" spans="1:4">
      <c r="A6" s="5" t="s">
        <v>109</v>
      </c>
      <c r="B6" s="6">
        <f>COUNTIF(Evaluation!H3:H100,TRUE)</f>
        <v>2</v>
      </c>
      <c r="C6" s="6" t="s">
        <v>110</v>
      </c>
      <c r="D6" s="6" t="s">
        <v>111</v>
      </c>
    </row>
    <row r="7" spans="1:4">
      <c r="A7" s="7" t="s">
        <v>61</v>
      </c>
      <c r="B7" s="8" t="s">
        <v>61</v>
      </c>
      <c r="C7" s="8" t="s">
        <v>61</v>
      </c>
      <c r="D7" s="8" t="s">
        <v>61</v>
      </c>
    </row>
    <row r="8" spans="1:4">
      <c r="A8" s="5" t="s">
        <v>112</v>
      </c>
      <c r="B8" s="6">
        <f>IFERROR(AVERAGEIF(Evaluation!H3:H100,FALSE,Evaluation!Q3:Q100),"")</f>
        <v>1</v>
      </c>
      <c r="C8" s="6" t="s">
        <v>113</v>
      </c>
      <c r="D8" s="6" t="s">
        <v>114</v>
      </c>
    </row>
    <row r="9" spans="1:4">
      <c r="A9" s="7" t="s">
        <v>115</v>
      </c>
      <c r="B9" s="8">
        <f>IFERROR(AVERAGEIF(Evaluation!H3:H100,FALSE,Evaluation!R3:R100),"")</f>
        <v>1</v>
      </c>
      <c r="C9" s="8" t="s">
        <v>116</v>
      </c>
      <c r="D9" s="8" t="s">
        <v>117</v>
      </c>
    </row>
    <row r="10" spans="1:4">
      <c r="A10" s="7" t="s">
        <v>61</v>
      </c>
      <c r="B10" s="8" t="s">
        <v>61</v>
      </c>
      <c r="C10" s="8" t="s">
        <v>61</v>
      </c>
      <c r="D10" s="8" t="s">
        <v>61</v>
      </c>
    </row>
    <row r="11" spans="1:4">
      <c r="A11" s="7" t="s">
        <v>118</v>
      </c>
      <c r="B11" s="8">
        <f>IFERROR(COUNTIFS(Evaluation!H3:H100,TRUE,Evaluation!T3:T100,TRUE)/COUNTIF(Evaluation!H3:H100,TRUE),"")</f>
        <v>0</v>
      </c>
      <c r="C11" s="8">
        <f>1</f>
        <v>1</v>
      </c>
      <c r="D11" s="8" t="s">
        <v>119</v>
      </c>
    </row>
    <row r="12" spans="1:4">
      <c r="A12" s="5" t="s">
        <v>120</v>
      </c>
      <c r="B12" s="6">
        <f>IFERROR(COUNTIFS(Evaluation!Q3:Q100,1,Evaluation!S3:S100,TRUE)/COUNTIF(Evaluation!Q3:Q100,1),"")</f>
        <v>1</v>
      </c>
      <c r="C12" s="6" t="s">
        <v>121</v>
      </c>
      <c r="D12" s="6" t="s">
        <v>122</v>
      </c>
    </row>
    <row r="13" spans="1:4">
      <c r="A13" s="7" t="s">
        <v>61</v>
      </c>
      <c r="B13" s="8" t="s">
        <v>61</v>
      </c>
      <c r="C13" s="8" t="s">
        <v>61</v>
      </c>
      <c r="D13" s="8" t="s">
        <v>61</v>
      </c>
    </row>
    <row r="14" spans="1:4">
      <c r="A14" s="5" t="s">
        <v>123</v>
      </c>
      <c r="B14" s="6">
        <f>IFERROR(COUNTIFS(Evaluation!H3:H100,FALSE,Evaluation!U3:U100,"✅ PASS")/COUNTIF(Evaluation!H3:H100,FALSE),"")</f>
        <v>0.111111111111111</v>
      </c>
      <c r="C14" s="6" t="s">
        <v>124</v>
      </c>
      <c r="D14" s="6" t="s">
        <v>125</v>
      </c>
    </row>
    <row r="15" spans="1:4">
      <c r="A15" s="7" t="s">
        <v>126</v>
      </c>
      <c r="B15" s="8">
        <f>IFERROR(COUNTIFS(Evaluation!H3:H100,FALSE,Evaluation!U3:U100,"⚠️ PARTIAL")/COUNTIF(Evaluation!H3:H100,FALSE),"")</f>
        <v>0</v>
      </c>
      <c r="C15" s="8" t="s">
        <v>61</v>
      </c>
      <c r="D15" s="8" t="s">
        <v>127</v>
      </c>
    </row>
    <row r="16" spans="1:4">
      <c r="A16" s="5" t="s">
        <v>128</v>
      </c>
      <c r="B16" s="6">
        <f>IFERROR(COUNTIFS(Evaluation!H3:H100,FALSE,Evaluation!U3:U100,"❌ FAIL")/COUNTIF(Evaluation!H3:H100,FALSE),"")</f>
        <v>0</v>
      </c>
      <c r="C16" s="6" t="s">
        <v>61</v>
      </c>
      <c r="D16" s="6" t="s">
        <v>129</v>
      </c>
    </row>
    <row r="17" spans="1:4">
      <c r="A17" s="7" t="s">
        <v>61</v>
      </c>
      <c r="B17" s="8" t="s">
        <v>61</v>
      </c>
      <c r="C17" s="8" t="s">
        <v>61</v>
      </c>
      <c r="D17" s="8" t="s">
        <v>61</v>
      </c>
    </row>
    <row r="18" spans="1:4">
      <c r="A18" s="5" t="s">
        <v>130</v>
      </c>
      <c r="B18" s="6">
        <f>COUNTIF(Evaluation!AA3:AA100,"retrieval_error")</f>
        <v>0</v>
      </c>
      <c r="C18" s="6" t="s">
        <v>61</v>
      </c>
      <c r="D18" s="6" t="s">
        <v>131</v>
      </c>
    </row>
    <row r="19" spans="1:4">
      <c r="A19" s="7" t="s">
        <v>132</v>
      </c>
      <c r="B19" s="8">
        <f>COUNTIF(Evaluation!AA3:AA100,"ranking_error")</f>
        <v>0</v>
      </c>
      <c r="C19" s="8" t="s">
        <v>61</v>
      </c>
      <c r="D19" s="8" t="s">
        <v>133</v>
      </c>
    </row>
    <row r="20" spans="1:4">
      <c r="A20" s="5" t="s">
        <v>134</v>
      </c>
      <c r="B20" s="6">
        <f>COUNTIF(Evaluation!AA3:AA100,"generation_error")</f>
        <v>0</v>
      </c>
      <c r="C20" s="6" t="s">
        <v>61</v>
      </c>
      <c r="D20" s="6" t="s">
        <v>135</v>
      </c>
    </row>
    <row r="21" spans="1:4">
      <c r="A21" s="7" t="s">
        <v>136</v>
      </c>
      <c r="B21" s="8">
        <f>COUNTIF(Evaluation!AA3:AA100,"citation_error")</f>
        <v>0</v>
      </c>
      <c r="C21" s="8" t="s">
        <v>61</v>
      </c>
      <c r="D21" s="8" t="s">
        <v>137</v>
      </c>
    </row>
    <row r="22" spans="1:4">
      <c r="A22" s="5" t="s">
        <v>138</v>
      </c>
      <c r="B22" s="6">
        <f>COUNTIF(Evaluation!AA3:AA100,"guardrail_error")</f>
        <v>0</v>
      </c>
      <c r="C22" s="6" t="s">
        <v>61</v>
      </c>
      <c r="D22" s="6" t="s">
        <v>139</v>
      </c>
    </row>
    <row r="23" spans="1:4">
      <c r="A23" s="7" t="s">
        <v>61</v>
      </c>
      <c r="B23" s="8" t="s">
        <v>61</v>
      </c>
      <c r="C23" s="8" t="s">
        <v>61</v>
      </c>
      <c r="D23" s="8" t="s">
        <v>61</v>
      </c>
    </row>
    <row r="24" spans="1:4">
      <c r="A24" s="5" t="s">
        <v>140</v>
      </c>
      <c r="B24" s="6">
        <f>IFERROR(AVERAGEIF(Evaluation!H3:H100,FALSE,Evaluation!AC3:AC100),"")</f>
        <v>0.95</v>
      </c>
      <c r="C24" s="6" t="s">
        <v>121</v>
      </c>
      <c r="D24" s="6" t="s">
        <v>141</v>
      </c>
    </row>
    <row r="25" spans="1:4">
      <c r="A25" s="7" t="s">
        <v>142</v>
      </c>
      <c r="B25" s="8">
        <f>IFERROR(AVERAGEIF(Evaluation!H3:H100,FALSE,Evaluation!AD3:AD100),"")</f>
        <v>0.9</v>
      </c>
      <c r="C25" s="8" t="s">
        <v>121</v>
      </c>
      <c r="D25" s="8" t="s">
        <v>143</v>
      </c>
    </row>
    <row r="26" spans="1:4">
      <c r="A26" s="5" t="s">
        <v>144</v>
      </c>
      <c r="B26" s="6">
        <f>IFERROR(AVERAGEIF(Evaluation!H3:H100,FALSE,Evaluation!AE3:AE100),"")</f>
        <v>1</v>
      </c>
      <c r="C26" s="6" t="s">
        <v>121</v>
      </c>
      <c r="D26" s="6" t="s">
        <v>145</v>
      </c>
    </row>
    <row r="27" spans="1:4">
      <c r="A27" s="7" t="s">
        <v>146</v>
      </c>
      <c r="B27" s="8">
        <f>IFERROR(AVERAGEIF(Evaluation!H3:H100,FALSE,Evaluation!AF3:AF100),"")</f>
        <v>1</v>
      </c>
      <c r="C27" s="8" t="s">
        <v>121</v>
      </c>
      <c r="D27" s="8" t="s">
        <v>147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15" sqref="C15"/>
    </sheetView>
  </sheetViews>
  <sheetFormatPr defaultColWidth="9" defaultRowHeight="14.4" outlineLevelCol="2"/>
  <cols>
    <col min="1" max="1" width="20" customWidth="1"/>
    <col min="2" max="2" width="80" customWidth="1"/>
    <col min="3" max="3" width="10.5555555555556" customWidth="1"/>
  </cols>
  <sheetData>
    <row r="1" ht="17.4" spans="1:2">
      <c r="A1" s="1" t="s">
        <v>148</v>
      </c>
      <c r="B1" s="2" t="s">
        <v>61</v>
      </c>
    </row>
    <row r="2" spans="1:2">
      <c r="A2" s="3" t="s">
        <v>61</v>
      </c>
      <c r="B2" s="2" t="s">
        <v>61</v>
      </c>
    </row>
    <row r="3" spans="1:2">
      <c r="A3" s="3" t="s">
        <v>149</v>
      </c>
      <c r="B3" s="2" t="s">
        <v>150</v>
      </c>
    </row>
    <row r="4" spans="1:2">
      <c r="A4" s="3" t="s">
        <v>151</v>
      </c>
      <c r="B4" s="2" t="s">
        <v>152</v>
      </c>
    </row>
    <row r="5" spans="1:2">
      <c r="A5" s="3" t="s">
        <v>153</v>
      </c>
      <c r="B5" s="2" t="s">
        <v>154</v>
      </c>
    </row>
    <row r="6" spans="1:2">
      <c r="A6" s="3" t="s">
        <v>155</v>
      </c>
      <c r="B6" s="2" t="s">
        <v>156</v>
      </c>
    </row>
    <row r="7" spans="1:2">
      <c r="A7" s="3" t="s">
        <v>61</v>
      </c>
      <c r="B7" s="2" t="s">
        <v>61</v>
      </c>
    </row>
    <row r="8" ht="26.4" spans="1:3">
      <c r="A8" s="3" t="s">
        <v>157</v>
      </c>
      <c r="B8" s="2" t="s">
        <v>158</v>
      </c>
      <c r="C8" t="s">
        <v>159</v>
      </c>
    </row>
    <row r="9" spans="1:2">
      <c r="A9" s="3" t="s">
        <v>61</v>
      </c>
      <c r="B9" s="2" t="s">
        <v>61</v>
      </c>
    </row>
    <row r="10" spans="1:2">
      <c r="A10" s="3" t="s">
        <v>160</v>
      </c>
      <c r="B10" s="2" t="s">
        <v>161</v>
      </c>
    </row>
    <row r="11" spans="1:2">
      <c r="A11" s="3" t="s">
        <v>162</v>
      </c>
      <c r="B11" s="2" t="s">
        <v>163</v>
      </c>
    </row>
    <row r="12" spans="1:2">
      <c r="A12" s="3" t="s">
        <v>164</v>
      </c>
      <c r="B12" s="2" t="s">
        <v>165</v>
      </c>
    </row>
    <row r="13" spans="1:2">
      <c r="A13" s="3" t="s">
        <v>166</v>
      </c>
      <c r="B13" s="2" t="s">
        <v>167</v>
      </c>
    </row>
    <row r="14" spans="1:2">
      <c r="A14" s="3" t="s">
        <v>168</v>
      </c>
      <c r="B14" s="2" t="s">
        <v>169</v>
      </c>
    </row>
    <row r="15" spans="1:2">
      <c r="A15" s="3" t="s">
        <v>170</v>
      </c>
      <c r="B15" s="2" t="s">
        <v>171</v>
      </c>
    </row>
    <row r="16" spans="1:2">
      <c r="A16" s="3" t="s">
        <v>172</v>
      </c>
      <c r="B16" s="2" t="s">
        <v>173</v>
      </c>
    </row>
    <row r="17" spans="1:2">
      <c r="A17" s="3" t="s">
        <v>174</v>
      </c>
      <c r="B17" s="2" t="s">
        <v>175</v>
      </c>
    </row>
    <row r="18" spans="1:2">
      <c r="A18" s="3" t="s">
        <v>61</v>
      </c>
      <c r="B18" s="2" t="s">
        <v>61</v>
      </c>
    </row>
    <row r="19" spans="1:2">
      <c r="A19" s="3" t="s">
        <v>176</v>
      </c>
      <c r="B19" s="2" t="s">
        <v>177</v>
      </c>
    </row>
    <row r="20" spans="1:2">
      <c r="A20" s="3" t="s">
        <v>176</v>
      </c>
      <c r="B20" s="2" t="s">
        <v>178</v>
      </c>
    </row>
    <row r="21" spans="1:2">
      <c r="A21" s="3" t="s">
        <v>176</v>
      </c>
      <c r="B21" s="2" t="s">
        <v>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Evaluation</vt:lpstr>
      <vt:lpstr>Summary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2026-06-03T08:33:00Z</dcterms:created>
  <dcterms:modified xsi:type="dcterms:W3CDTF">2026-06-03T08:35:18Z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